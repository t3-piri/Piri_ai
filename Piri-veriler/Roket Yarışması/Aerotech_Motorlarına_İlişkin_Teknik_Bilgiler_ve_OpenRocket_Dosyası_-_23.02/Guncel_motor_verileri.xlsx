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hat\Desktop\Aerotech_Guncel\"/>
    </mc:Choice>
  </mc:AlternateContent>
  <xr:revisionPtr revIDLastSave="0" documentId="8_{BAEB70EE-6A5F-43DA-A463-4A5D90CEB1ED}" xr6:coauthVersionLast="47" xr6:coauthVersionMax="47" xr10:uidLastSave="{00000000-0000-0000-0000-000000000000}"/>
  <bookViews>
    <workbookView xWindow="-28920" yWindow="-120" windowWidth="29040" windowHeight="15840" xr2:uid="{6F12F72E-DCF1-4D37-AD9E-767AE6A640D8}"/>
  </bookViews>
  <sheets>
    <sheet name="L1256" sheetId="2" r:id="rId1"/>
    <sheet name="M1850" sheetId="1" r:id="rId2"/>
    <sheet name="N3300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2" l="1" a="1"/>
  <c r="I18" i="2" s="1"/>
  <c r="I17" i="2" a="1"/>
  <c r="I17" i="2" s="1"/>
  <c r="I20" i="3" a="1"/>
  <c r="I20" i="3" s="1"/>
  <c r="I19" i="3" a="1"/>
  <c r="I19" i="3" s="1"/>
  <c r="I19" i="1" a="1"/>
  <c r="I19" i="1" s="1"/>
  <c r="I18" i="1" a="1"/>
  <c r="I18" i="1" s="1"/>
  <c r="G10" i="1"/>
  <c r="B5" i="1" s="1"/>
  <c r="B12" i="2"/>
  <c r="B13" i="2"/>
  <c r="B14" i="2"/>
  <c r="B15" i="2"/>
  <c r="B16" i="2"/>
  <c r="B17" i="2"/>
  <c r="B18" i="2"/>
  <c r="B19" i="2"/>
  <c r="B4" i="2"/>
  <c r="J10" i="3"/>
  <c r="J9" i="3"/>
  <c r="G9" i="3"/>
  <c r="G10" i="3"/>
  <c r="B5" i="3" s="1"/>
  <c r="J10" i="1"/>
  <c r="J9" i="1"/>
  <c r="J10" i="2"/>
  <c r="J9" i="2"/>
  <c r="G10" i="2"/>
  <c r="B5" i="2" s="1"/>
  <c r="G9" i="2"/>
  <c r="G9" i="1"/>
  <c r="I21" i="2" l="1"/>
  <c r="I20" i="2"/>
  <c r="I23" i="3"/>
  <c r="I22" i="3"/>
  <c r="B11" i="2"/>
  <c r="B7" i="3"/>
  <c r="B24" i="3"/>
  <c r="B23" i="3"/>
  <c r="B22" i="3"/>
  <c r="B21" i="3"/>
  <c r="B19" i="3"/>
  <c r="B17" i="3"/>
  <c r="B15" i="3"/>
  <c r="B12" i="3"/>
  <c r="B10" i="3"/>
  <c r="B29" i="3"/>
  <c r="B28" i="3"/>
  <c r="B27" i="3"/>
  <c r="B26" i="3"/>
  <c r="B6" i="3"/>
  <c r="B20" i="3"/>
  <c r="B18" i="3"/>
  <c r="B16" i="3"/>
  <c r="B14" i="3"/>
  <c r="B13" i="3"/>
  <c r="B11" i="3"/>
  <c r="B4" i="3"/>
  <c r="B9" i="3"/>
  <c r="B8" i="3"/>
  <c r="B25" i="3"/>
  <c r="B10" i="2"/>
  <c r="B9" i="2"/>
  <c r="B8" i="2"/>
  <c r="B7" i="2"/>
  <c r="B6" i="2"/>
  <c r="B24" i="1"/>
  <c r="B23" i="1"/>
  <c r="B22" i="1"/>
  <c r="B21" i="1"/>
  <c r="B20" i="1"/>
  <c r="B9" i="1"/>
  <c r="B19" i="1"/>
  <c r="B16" i="1"/>
  <c r="B15" i="1"/>
  <c r="B14" i="1"/>
  <c r="B13" i="1"/>
  <c r="B11" i="1"/>
  <c r="B8" i="1"/>
  <c r="B18" i="1"/>
  <c r="B12" i="1"/>
  <c r="B10" i="1"/>
  <c r="B4" i="1"/>
  <c r="B7" i="1"/>
  <c r="B17" i="1"/>
  <c r="B26" i="1"/>
  <c r="B6" i="1"/>
  <c r="B25" i="1"/>
  <c r="I22" i="1" l="1"/>
  <c r="I2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<sst xmlns="http://schemas.openxmlformats.org/spreadsheetml/2006/main" count="57" uniqueCount="16">
  <si>
    <t>M1850</t>
  </si>
  <si>
    <t>Zaman</t>
  </si>
  <si>
    <t>Fark</t>
  </si>
  <si>
    <t>Değişim Oranı</t>
  </si>
  <si>
    <t>Ölçülen Ağırlık (g)</t>
  </si>
  <si>
    <t>L1256</t>
  </si>
  <si>
    <t>N3300</t>
  </si>
  <si>
    <t>*Üretici ağırlığı verisi, motorların .eng uzantılı dosyalarından alınmıştır.</t>
  </si>
  <si>
    <t>Üretici Ağırlığı (g)*</t>
  </si>
  <si>
    <t>Yakıt Ağırlığı</t>
  </si>
  <si>
    <t>Toplam Motor Ağırlığı</t>
  </si>
  <si>
    <t>Eski Zaman</t>
  </si>
  <si>
    <t>Güncellenmiş Zaman</t>
  </si>
  <si>
    <t>İtki</t>
  </si>
  <si>
    <t>Toplam İtki (Ns)</t>
  </si>
  <si>
    <t>Güncel Toplam İtki (Ns)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</si>
</sst>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2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10" fontId="4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" fillId="0" borderId="0" xfId="0" applyFont="1" applyAlignment="1">
      <alignment horizontal="center" vertical="center"/>
    </xf>
    <xf numFmtId="0" fontId="0" fillId="0" borderId="5" xfId="0" applyBorder="1"/>
    <xf numFmtId="0" fontId="3" fillId="0" borderId="0" xfId="0" applyFont="1"/>
    <xf numFmtId="0" fontId="4" fillId="0" borderId="0" xfId="0" applyFont="1"/>
    <xf numFmtId="0" fontId="4" fillId="0" borderId="5" xfId="0" applyFont="1" applyBorder="1"/>
    <xf numFmtId="0" fontId="0" fillId="0" borderId="2" xfId="0" applyBorder="1"/>
    <xf numFmtId="0" fontId="0" fillId="0" borderId="6" xfId="0" applyBorder="1"/>
    <xf numFmtId="2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/>
    </xf>
    <xf numFmtId="2" fontId="1" fillId="0" borderId="8" xfId="0" applyNumberFormat="1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/>
    </xf>
    <xf numFmtId="164" fontId="2" fillId="0" borderId="1" xfId="0" applyNumberFormat="1" applyFont="1" applyBorder="1"/>
    <xf numFmtId="2" fontId="1" fillId="0" borderId="7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0" fillId="0" borderId="0" xfId="0" applyBorder="1"/>
    <xf numFmtId="2" fontId="0" fillId="0" borderId="0" xfId="0" applyNumberFormat="1"/>
    <xf numFmtId="2" fontId="4" fillId="0" borderId="1" xfId="0" applyNumberFormat="1" applyFont="1" applyBorder="1"/>
    <xf numFmtId="0" fontId="1" fillId="0" borderId="1" xfId="0" applyFont="1" applyBorder="1" applyAlignment="1">
      <alignment horizontal="center" vertical="center"/>
    </xf>
    <xf numFmtId="2" fontId="0" fillId="0" borderId="1" xfId="0" applyNumberFormat="1" applyBorder="1"/>
    <xf numFmtId="0" fontId="3" fillId="0" borderId="1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/>
    <xf numFmtId="0" fontId="4" fillId="0" borderId="0" xfId="0" applyFont="1" applyBorder="1"/>
    <xf numFmtId="0" fontId="0" fillId="0" borderId="0" xfId="0" applyBorder="1" applyAlignment="1">
      <alignment horizontal="left" vertical="top" wrapText="1"/>
    </xf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L1256 İtki-Zaman Grafiği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eski_zaman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'L1256'!$A$4:$A$19</c:f>
              <c:numCache>
                <c:formatCode>General</c:formatCode>
                <c:ptCount val="16"/>
                <c:pt idx="0">
                  <c:v>1.7000000000000001E-2</c:v>
                </c:pt>
                <c:pt idx="1">
                  <c:v>4.4999999999999998E-2</c:v>
                </c:pt>
                <c:pt idx="2">
                  <c:v>0.19</c:v>
                </c:pt>
                <c:pt idx="3">
                  <c:v>0.46500000000000002</c:v>
                </c:pt>
                <c:pt idx="4">
                  <c:v>0.77</c:v>
                </c:pt>
                <c:pt idx="5">
                  <c:v>1.0760000000000001</c:v>
                </c:pt>
                <c:pt idx="6">
                  <c:v>1.381</c:v>
                </c:pt>
                <c:pt idx="7">
                  <c:v>1.7230000000000001</c:v>
                </c:pt>
                <c:pt idx="8">
                  <c:v>2.0289999999999999</c:v>
                </c:pt>
                <c:pt idx="9">
                  <c:v>2.4849999999999999</c:v>
                </c:pt>
                <c:pt idx="10">
                  <c:v>2.71</c:v>
                </c:pt>
                <c:pt idx="11">
                  <c:v>2.7879999999999998</c:v>
                </c:pt>
                <c:pt idx="12">
                  <c:v>2.9390000000000001</c:v>
                </c:pt>
                <c:pt idx="13">
                  <c:v>3.0230000000000001</c:v>
                </c:pt>
                <c:pt idx="14">
                  <c:v>3.0409999999999999</c:v>
                </c:pt>
                <c:pt idx="15">
                  <c:v>3.0590000000000002</c:v>
                </c:pt>
              </c:numCache>
            </c:numRef>
          </c:xVal>
          <c:yVal>
            <c:numRef>
              <c:f>'L1256'!$C$4:$C$19</c:f>
              <c:numCache>
                <c:formatCode>General</c:formatCode>
                <c:ptCount val="16"/>
                <c:pt idx="0">
                  <c:v>13.86513021511</c:v>
                </c:pt>
                <c:pt idx="1">
                  <c:v>1220.00352065126</c:v>
                </c:pt>
                <c:pt idx="2">
                  <c:v>1400.2397527122801</c:v>
                </c:pt>
                <c:pt idx="3">
                  <c:v>1439.0788989734599</c:v>
                </c:pt>
                <c:pt idx="4">
                  <c:v>1469.66069211678</c:v>
                </c:pt>
                <c:pt idx="5">
                  <c:v>1466.0834023295599</c:v>
                </c:pt>
                <c:pt idx="6">
                  <c:v>1445.3996741613901</c:v>
                </c:pt>
                <c:pt idx="7">
                  <c:v>1340.95895052418</c:v>
                </c:pt>
                <c:pt idx="8">
                  <c:v>1231.0850499169101</c:v>
                </c:pt>
                <c:pt idx="9">
                  <c:v>1098.4563586330801</c:v>
                </c:pt>
                <c:pt idx="10">
                  <c:v>1064.0999999999999</c:v>
                </c:pt>
                <c:pt idx="11">
                  <c:v>829.72927394098997</c:v>
                </c:pt>
                <c:pt idx="12">
                  <c:v>376.03210002584302</c:v>
                </c:pt>
                <c:pt idx="13">
                  <c:v>55.770524865323402</c:v>
                </c:pt>
                <c:pt idx="14">
                  <c:v>28.066701701189999</c:v>
                </c:pt>
                <c:pt idx="1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8B-49F7-AE4C-09DCFD418BA6}"/>
            </c:ext>
          </c:extLst>
        </c:ser>
        <c:ser>
          <c:idx val="1"/>
          <c:order val="1"/>
          <c:tx>
            <c:v>yeni_zaman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'L1256'!$B$4:$B$19</c:f>
              <c:numCache>
                <c:formatCode>0.000</c:formatCode>
                <c:ptCount val="16"/>
                <c:pt idx="0">
                  <c:v>1.648930753564155E-2</c:v>
                </c:pt>
                <c:pt idx="1">
                  <c:v>4.3648167006109975E-2</c:v>
                </c:pt>
                <c:pt idx="2">
                  <c:v>0.18429226069246435</c:v>
                </c:pt>
                <c:pt idx="3">
                  <c:v>0.45103105906313645</c:v>
                </c:pt>
                <c:pt idx="4">
                  <c:v>0.74686863543788184</c:v>
                </c:pt>
                <c:pt idx="5">
                  <c:v>1.0436761710794298</c:v>
                </c:pt>
                <c:pt idx="6">
                  <c:v>1.3395137474541752</c:v>
                </c:pt>
                <c:pt idx="7">
                  <c:v>1.6712398167006111</c:v>
                </c:pt>
                <c:pt idx="8">
                  <c:v>1.9680473523421589</c:v>
                </c:pt>
                <c:pt idx="9">
                  <c:v>2.4103487780040731</c:v>
                </c:pt>
                <c:pt idx="10">
                  <c:v>2.6285896130346234</c:v>
                </c:pt>
                <c:pt idx="11">
                  <c:v>2.7042464358452136</c:v>
                </c:pt>
                <c:pt idx="12">
                  <c:v>2.8507102851323829</c:v>
                </c:pt>
                <c:pt idx="13">
                  <c:v>2.9321868635437882</c:v>
                </c:pt>
                <c:pt idx="14">
                  <c:v>2.949646130346232</c:v>
                </c:pt>
                <c:pt idx="15">
                  <c:v>2.9671053971486763</c:v>
                </c:pt>
              </c:numCache>
            </c:numRef>
          </c:xVal>
          <c:yVal>
            <c:numRef>
              <c:f>'L1256'!$C$4:$C$19</c:f>
              <c:numCache>
                <c:formatCode>General</c:formatCode>
                <c:ptCount val="16"/>
                <c:pt idx="0">
                  <c:v>13.86513021511</c:v>
                </c:pt>
                <c:pt idx="1">
                  <c:v>1220.00352065126</c:v>
                </c:pt>
                <c:pt idx="2">
                  <c:v>1400.2397527122801</c:v>
                </c:pt>
                <c:pt idx="3">
                  <c:v>1439.0788989734599</c:v>
                </c:pt>
                <c:pt idx="4">
                  <c:v>1469.66069211678</c:v>
                </c:pt>
                <c:pt idx="5">
                  <c:v>1466.0834023295599</c:v>
                </c:pt>
                <c:pt idx="6">
                  <c:v>1445.3996741613901</c:v>
                </c:pt>
                <c:pt idx="7">
                  <c:v>1340.95895052418</c:v>
                </c:pt>
                <c:pt idx="8">
                  <c:v>1231.0850499169101</c:v>
                </c:pt>
                <c:pt idx="9">
                  <c:v>1098.4563586330801</c:v>
                </c:pt>
                <c:pt idx="10">
                  <c:v>1064.0999999999999</c:v>
                </c:pt>
                <c:pt idx="11">
                  <c:v>829.72927394098997</c:v>
                </c:pt>
                <c:pt idx="12">
                  <c:v>376.03210002584302</c:v>
                </c:pt>
                <c:pt idx="13">
                  <c:v>55.770524865323402</c:v>
                </c:pt>
                <c:pt idx="14">
                  <c:v>28.066701701189999</c:v>
                </c:pt>
                <c:pt idx="1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48B-49F7-AE4C-09DCFD418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435008"/>
        <c:axId val="892456128"/>
      </c:scatterChart>
      <c:valAx>
        <c:axId val="892435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92456128"/>
        <c:crosses val="autoZero"/>
        <c:crossBetween val="midCat"/>
      </c:valAx>
      <c:valAx>
        <c:axId val="89245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92435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M1850 İtki-Zaman Grafiği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eski_zaman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'M1850'!$A$4:$A$26</c:f>
              <c:numCache>
                <c:formatCode>General</c:formatCode>
                <c:ptCount val="23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1</c:v>
                </c:pt>
                <c:pt idx="6">
                  <c:v>1.5</c:v>
                </c:pt>
                <c:pt idx="7">
                  <c:v>2</c:v>
                </c:pt>
                <c:pt idx="8">
                  <c:v>2.5</c:v>
                </c:pt>
                <c:pt idx="9">
                  <c:v>3</c:v>
                </c:pt>
                <c:pt idx="10">
                  <c:v>3.25</c:v>
                </c:pt>
                <c:pt idx="11">
                  <c:v>3.35</c:v>
                </c:pt>
                <c:pt idx="12">
                  <c:v>3.5</c:v>
                </c:pt>
                <c:pt idx="13">
                  <c:v>3.75</c:v>
                </c:pt>
                <c:pt idx="14">
                  <c:v>3.8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5.5</c:v>
                </c:pt>
                <c:pt idx="21">
                  <c:v>6</c:v>
                </c:pt>
                <c:pt idx="22">
                  <c:v>6.5</c:v>
                </c:pt>
              </c:numCache>
            </c:numRef>
          </c:xVal>
          <c:yVal>
            <c:numRef>
              <c:f>'M1850'!$C$4:$C$26</c:f>
              <c:numCache>
                <c:formatCode>General</c:formatCode>
                <c:ptCount val="23"/>
                <c:pt idx="0">
                  <c:v>2411</c:v>
                </c:pt>
                <c:pt idx="1">
                  <c:v>2135</c:v>
                </c:pt>
                <c:pt idx="2">
                  <c:v>2015</c:v>
                </c:pt>
                <c:pt idx="3">
                  <c:v>2000</c:v>
                </c:pt>
                <c:pt idx="4">
                  <c:v>2055</c:v>
                </c:pt>
                <c:pt idx="5">
                  <c:v>2098</c:v>
                </c:pt>
                <c:pt idx="6">
                  <c:v>1860</c:v>
                </c:pt>
                <c:pt idx="7">
                  <c:v>1788</c:v>
                </c:pt>
                <c:pt idx="8">
                  <c:v>1659</c:v>
                </c:pt>
                <c:pt idx="9">
                  <c:v>1468</c:v>
                </c:pt>
                <c:pt idx="10">
                  <c:v>1423</c:v>
                </c:pt>
                <c:pt idx="11">
                  <c:v>1334</c:v>
                </c:pt>
                <c:pt idx="12">
                  <c:v>1201</c:v>
                </c:pt>
                <c:pt idx="13">
                  <c:v>934</c:v>
                </c:pt>
                <c:pt idx="14">
                  <c:v>930</c:v>
                </c:pt>
                <c:pt idx="15">
                  <c:v>881</c:v>
                </c:pt>
                <c:pt idx="16">
                  <c:v>600</c:v>
                </c:pt>
                <c:pt idx="17">
                  <c:v>468</c:v>
                </c:pt>
                <c:pt idx="18">
                  <c:v>400</c:v>
                </c:pt>
                <c:pt idx="19">
                  <c:v>290</c:v>
                </c:pt>
                <c:pt idx="20">
                  <c:v>85</c:v>
                </c:pt>
                <c:pt idx="21">
                  <c:v>23</c:v>
                </c:pt>
                <c:pt idx="2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FE-4164-B72F-6C871E852E41}"/>
            </c:ext>
          </c:extLst>
        </c:ser>
        <c:ser>
          <c:idx val="1"/>
          <c:order val="1"/>
          <c:tx>
            <c:v>yeni_zaman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'M1850'!$B$4:$B$26</c:f>
              <c:numCache>
                <c:formatCode>0.000</c:formatCode>
                <c:ptCount val="23"/>
                <c:pt idx="0">
                  <c:v>0.10384712730954189</c:v>
                </c:pt>
                <c:pt idx="1">
                  <c:v>0.20769425461908378</c:v>
                </c:pt>
                <c:pt idx="2">
                  <c:v>0.31154138192862563</c:v>
                </c:pt>
                <c:pt idx="3">
                  <c:v>0.41538850923816756</c:v>
                </c:pt>
                <c:pt idx="4">
                  <c:v>0.51923563654770943</c:v>
                </c:pt>
                <c:pt idx="5">
                  <c:v>1.0384712730954189</c:v>
                </c:pt>
                <c:pt idx="6">
                  <c:v>1.5577069096431284</c:v>
                </c:pt>
                <c:pt idx="7">
                  <c:v>2.0769425461908377</c:v>
                </c:pt>
                <c:pt idx="8">
                  <c:v>2.5961781827385471</c:v>
                </c:pt>
                <c:pt idx="9">
                  <c:v>3.1154138192862568</c:v>
                </c:pt>
                <c:pt idx="10">
                  <c:v>3.3750316375601113</c:v>
                </c:pt>
                <c:pt idx="11">
                  <c:v>3.4788787648696533</c:v>
                </c:pt>
                <c:pt idx="12">
                  <c:v>3.6346494558339661</c:v>
                </c:pt>
                <c:pt idx="13">
                  <c:v>3.894267274107821</c:v>
                </c:pt>
                <c:pt idx="14">
                  <c:v>3.9461908377625914</c:v>
                </c:pt>
                <c:pt idx="15">
                  <c:v>4.1538850923816755</c:v>
                </c:pt>
                <c:pt idx="16">
                  <c:v>4.4135029106555299</c:v>
                </c:pt>
                <c:pt idx="17">
                  <c:v>4.6731207289293852</c:v>
                </c:pt>
                <c:pt idx="18">
                  <c:v>4.9327385472032397</c:v>
                </c:pt>
                <c:pt idx="19">
                  <c:v>5.1923563654770941</c:v>
                </c:pt>
                <c:pt idx="20">
                  <c:v>5.7115920020248039</c:v>
                </c:pt>
                <c:pt idx="21">
                  <c:v>6.2308276385725136</c:v>
                </c:pt>
                <c:pt idx="22">
                  <c:v>6.7500632751202225</c:v>
                </c:pt>
              </c:numCache>
            </c:numRef>
          </c:xVal>
          <c:yVal>
            <c:numRef>
              <c:f>'M1850'!$C$4:$C$26</c:f>
              <c:numCache>
                <c:formatCode>General</c:formatCode>
                <c:ptCount val="23"/>
                <c:pt idx="0">
                  <c:v>2411</c:v>
                </c:pt>
                <c:pt idx="1">
                  <c:v>2135</c:v>
                </c:pt>
                <c:pt idx="2">
                  <c:v>2015</c:v>
                </c:pt>
                <c:pt idx="3">
                  <c:v>2000</c:v>
                </c:pt>
                <c:pt idx="4">
                  <c:v>2055</c:v>
                </c:pt>
                <c:pt idx="5">
                  <c:v>2098</c:v>
                </c:pt>
                <c:pt idx="6">
                  <c:v>1860</c:v>
                </c:pt>
                <c:pt idx="7">
                  <c:v>1788</c:v>
                </c:pt>
                <c:pt idx="8">
                  <c:v>1659</c:v>
                </c:pt>
                <c:pt idx="9">
                  <c:v>1468</c:v>
                </c:pt>
                <c:pt idx="10">
                  <c:v>1423</c:v>
                </c:pt>
                <c:pt idx="11">
                  <c:v>1334</c:v>
                </c:pt>
                <c:pt idx="12">
                  <c:v>1201</c:v>
                </c:pt>
                <c:pt idx="13">
                  <c:v>934</c:v>
                </c:pt>
                <c:pt idx="14">
                  <c:v>930</c:v>
                </c:pt>
                <c:pt idx="15">
                  <c:v>881</c:v>
                </c:pt>
                <c:pt idx="16">
                  <c:v>600</c:v>
                </c:pt>
                <c:pt idx="17">
                  <c:v>468</c:v>
                </c:pt>
                <c:pt idx="18">
                  <c:v>400</c:v>
                </c:pt>
                <c:pt idx="19">
                  <c:v>290</c:v>
                </c:pt>
                <c:pt idx="20">
                  <c:v>85</c:v>
                </c:pt>
                <c:pt idx="21">
                  <c:v>23</c:v>
                </c:pt>
                <c:pt idx="2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2FE-4164-B72F-6C871E852E41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892435008"/>
        <c:axId val="892456128"/>
      </c:scatterChart>
      <c:valAx>
        <c:axId val="892435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92456128"/>
        <c:crosses val="autoZero"/>
        <c:crossBetween val="midCat"/>
      </c:valAx>
      <c:valAx>
        <c:axId val="89245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92435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N3300 İtki-Zaman</a:t>
            </a:r>
            <a:r>
              <a:rPr lang="tr-TR" baseline="0"/>
              <a:t> Grafiği</a:t>
            </a:r>
            <a:endParaRPr lang="tr-T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eski_zaman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'N3300'!$A$4:$A$29</c:f>
              <c:numCache>
                <c:formatCode>General</c:formatCode>
                <c:ptCount val="26"/>
                <c:pt idx="0">
                  <c:v>3.5999999999999997E-2</c:v>
                </c:pt>
                <c:pt idx="1">
                  <c:v>7.8E-2</c:v>
                </c:pt>
                <c:pt idx="2">
                  <c:v>0.125</c:v>
                </c:pt>
                <c:pt idx="3">
                  <c:v>0.157</c:v>
                </c:pt>
                <c:pt idx="4">
                  <c:v>0.2</c:v>
                </c:pt>
                <c:pt idx="5">
                  <c:v>0.41699999999999998</c:v>
                </c:pt>
                <c:pt idx="6">
                  <c:v>0.66600000000000004</c:v>
                </c:pt>
                <c:pt idx="7">
                  <c:v>0.96199999999999997</c:v>
                </c:pt>
                <c:pt idx="8">
                  <c:v>1.1970000000000001</c:v>
                </c:pt>
                <c:pt idx="9">
                  <c:v>1.5069999999999999</c:v>
                </c:pt>
                <c:pt idx="10">
                  <c:v>1.9</c:v>
                </c:pt>
                <c:pt idx="11">
                  <c:v>2.206</c:v>
                </c:pt>
                <c:pt idx="12">
                  <c:v>2.423</c:v>
                </c:pt>
                <c:pt idx="13">
                  <c:v>2.637</c:v>
                </c:pt>
                <c:pt idx="14">
                  <c:v>3.008</c:v>
                </c:pt>
                <c:pt idx="15">
                  <c:v>3.3180000000000001</c:v>
                </c:pt>
                <c:pt idx="16">
                  <c:v>3.617</c:v>
                </c:pt>
                <c:pt idx="17">
                  <c:v>3.86</c:v>
                </c:pt>
                <c:pt idx="18">
                  <c:v>3.9630000000000001</c:v>
                </c:pt>
                <c:pt idx="19">
                  <c:v>4.024</c:v>
                </c:pt>
                <c:pt idx="20">
                  <c:v>4.0910000000000002</c:v>
                </c:pt>
                <c:pt idx="21">
                  <c:v>4.1630000000000003</c:v>
                </c:pt>
                <c:pt idx="22">
                  <c:v>4.2839999999999998</c:v>
                </c:pt>
                <c:pt idx="23">
                  <c:v>4.3940000000000001</c:v>
                </c:pt>
                <c:pt idx="24">
                  <c:v>4.4550000000000001</c:v>
                </c:pt>
                <c:pt idx="25">
                  <c:v>4.5190000000000001</c:v>
                </c:pt>
              </c:numCache>
            </c:numRef>
          </c:xVal>
          <c:yVal>
            <c:numRef>
              <c:f>'N3300'!$C$4:$C$29</c:f>
              <c:numCache>
                <c:formatCode>General</c:formatCode>
                <c:ptCount val="26"/>
                <c:pt idx="0">
                  <c:v>40.167999999999999</c:v>
                </c:pt>
                <c:pt idx="1">
                  <c:v>2887.6239999999998</c:v>
                </c:pt>
                <c:pt idx="2">
                  <c:v>3775.78</c:v>
                </c:pt>
                <c:pt idx="3">
                  <c:v>3628.498</c:v>
                </c:pt>
                <c:pt idx="4">
                  <c:v>3534.7730000000001</c:v>
                </c:pt>
                <c:pt idx="5">
                  <c:v>3597.2559999999999</c:v>
                </c:pt>
                <c:pt idx="6">
                  <c:v>3628.498</c:v>
                </c:pt>
                <c:pt idx="7">
                  <c:v>3668.6660000000002</c:v>
                </c:pt>
                <c:pt idx="8">
                  <c:v>3664.203</c:v>
                </c:pt>
                <c:pt idx="9">
                  <c:v>3655.2759999999998</c:v>
                </c:pt>
                <c:pt idx="10">
                  <c:v>3619.5720000000001</c:v>
                </c:pt>
                <c:pt idx="11">
                  <c:v>3570.4780000000001</c:v>
                </c:pt>
                <c:pt idx="12">
                  <c:v>3530.31</c:v>
                </c:pt>
                <c:pt idx="13">
                  <c:v>3423.1950000000002</c:v>
                </c:pt>
                <c:pt idx="14">
                  <c:v>3208.9670000000001</c:v>
                </c:pt>
                <c:pt idx="15">
                  <c:v>3025.98</c:v>
                </c:pt>
                <c:pt idx="16">
                  <c:v>2820.6770000000001</c:v>
                </c:pt>
                <c:pt idx="17">
                  <c:v>2646.6170000000002</c:v>
                </c:pt>
                <c:pt idx="18">
                  <c:v>2597.5219999999999</c:v>
                </c:pt>
                <c:pt idx="19">
                  <c:v>2468.0929999999998</c:v>
                </c:pt>
                <c:pt idx="20">
                  <c:v>2267.2530000000002</c:v>
                </c:pt>
                <c:pt idx="21">
                  <c:v>1896.816</c:v>
                </c:pt>
                <c:pt idx="22">
                  <c:v>1124.7</c:v>
                </c:pt>
                <c:pt idx="23">
                  <c:v>343.65800000000002</c:v>
                </c:pt>
                <c:pt idx="24">
                  <c:v>129.43</c:v>
                </c:pt>
                <c:pt idx="2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9B-43EC-BD3D-6FD00555F588}"/>
            </c:ext>
          </c:extLst>
        </c:ser>
        <c:ser>
          <c:idx val="1"/>
          <c:order val="1"/>
          <c:tx>
            <c:v>yeni_zaman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'N3300'!$B$4:$B$29</c:f>
              <c:numCache>
                <c:formatCode>0.000</c:formatCode>
                <c:ptCount val="26"/>
                <c:pt idx="0">
                  <c:v>3.6747603833865813E-2</c:v>
                </c:pt>
                <c:pt idx="1">
                  <c:v>7.9619808306709269E-2</c:v>
                </c:pt>
                <c:pt idx="2">
                  <c:v>0.12759584664536741</c:v>
                </c:pt>
                <c:pt idx="3">
                  <c:v>0.16026038338658147</c:v>
                </c:pt>
                <c:pt idx="4">
                  <c:v>0.20415335463258788</c:v>
                </c:pt>
                <c:pt idx="5">
                  <c:v>0.42565974440894566</c:v>
                </c:pt>
                <c:pt idx="6">
                  <c:v>0.67983067092651761</c:v>
                </c:pt>
                <c:pt idx="7">
                  <c:v>0.98197763578274755</c:v>
                </c:pt>
                <c:pt idx="8">
                  <c:v>1.2218578274760383</c:v>
                </c:pt>
                <c:pt idx="9">
                  <c:v>1.5382955271565495</c:v>
                </c:pt>
                <c:pt idx="10">
                  <c:v>1.9394568690095846</c:v>
                </c:pt>
                <c:pt idx="11">
                  <c:v>2.251811501597444</c:v>
                </c:pt>
                <c:pt idx="12">
                  <c:v>2.4733178913738021</c:v>
                </c:pt>
                <c:pt idx="13">
                  <c:v>2.691761980830671</c:v>
                </c:pt>
                <c:pt idx="14">
                  <c:v>3.0704664536741215</c:v>
                </c:pt>
                <c:pt idx="15">
                  <c:v>3.3869041533546325</c:v>
                </c:pt>
                <c:pt idx="16">
                  <c:v>3.6921134185303512</c:v>
                </c:pt>
                <c:pt idx="17">
                  <c:v>3.9401597444089456</c:v>
                </c:pt>
                <c:pt idx="18">
                  <c:v>4.0452987220447287</c:v>
                </c:pt>
                <c:pt idx="19">
                  <c:v>4.1075654952076679</c:v>
                </c:pt>
                <c:pt idx="20">
                  <c:v>4.1759568690095845</c:v>
                </c:pt>
                <c:pt idx="21">
                  <c:v>4.2494520766773167</c:v>
                </c:pt>
                <c:pt idx="22">
                  <c:v>4.3729648562300314</c:v>
                </c:pt>
                <c:pt idx="23">
                  <c:v>4.4852492012779557</c:v>
                </c:pt>
                <c:pt idx="24">
                  <c:v>4.5475159744408948</c:v>
                </c:pt>
                <c:pt idx="25">
                  <c:v>4.6128450479233232</c:v>
                </c:pt>
              </c:numCache>
            </c:numRef>
          </c:xVal>
          <c:yVal>
            <c:numRef>
              <c:f>'N3300'!$C$4:$C$29</c:f>
              <c:numCache>
                <c:formatCode>General</c:formatCode>
                <c:ptCount val="26"/>
                <c:pt idx="0">
                  <c:v>40.167999999999999</c:v>
                </c:pt>
                <c:pt idx="1">
                  <c:v>2887.6239999999998</c:v>
                </c:pt>
                <c:pt idx="2">
                  <c:v>3775.78</c:v>
                </c:pt>
                <c:pt idx="3">
                  <c:v>3628.498</c:v>
                </c:pt>
                <c:pt idx="4">
                  <c:v>3534.7730000000001</c:v>
                </c:pt>
                <c:pt idx="5">
                  <c:v>3597.2559999999999</c:v>
                </c:pt>
                <c:pt idx="6">
                  <c:v>3628.498</c:v>
                </c:pt>
                <c:pt idx="7">
                  <c:v>3668.6660000000002</c:v>
                </c:pt>
                <c:pt idx="8">
                  <c:v>3664.203</c:v>
                </c:pt>
                <c:pt idx="9">
                  <c:v>3655.2759999999998</c:v>
                </c:pt>
                <c:pt idx="10">
                  <c:v>3619.5720000000001</c:v>
                </c:pt>
                <c:pt idx="11">
                  <c:v>3570.4780000000001</c:v>
                </c:pt>
                <c:pt idx="12">
                  <c:v>3530.31</c:v>
                </c:pt>
                <c:pt idx="13">
                  <c:v>3423.1950000000002</c:v>
                </c:pt>
                <c:pt idx="14">
                  <c:v>3208.9670000000001</c:v>
                </c:pt>
                <c:pt idx="15">
                  <c:v>3025.98</c:v>
                </c:pt>
                <c:pt idx="16">
                  <c:v>2820.6770000000001</c:v>
                </c:pt>
                <c:pt idx="17">
                  <c:v>2646.6170000000002</c:v>
                </c:pt>
                <c:pt idx="18">
                  <c:v>2597.5219999999999</c:v>
                </c:pt>
                <c:pt idx="19">
                  <c:v>2468.0929999999998</c:v>
                </c:pt>
                <c:pt idx="20">
                  <c:v>2267.2530000000002</c:v>
                </c:pt>
                <c:pt idx="21">
                  <c:v>1896.816</c:v>
                </c:pt>
                <c:pt idx="22">
                  <c:v>1124.7</c:v>
                </c:pt>
                <c:pt idx="23">
                  <c:v>343.65800000000002</c:v>
                </c:pt>
                <c:pt idx="24">
                  <c:v>129.43</c:v>
                </c:pt>
                <c:pt idx="2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79B-43EC-BD3D-6FD00555F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435008"/>
        <c:axId val="892456128"/>
      </c:scatterChart>
      <c:valAx>
        <c:axId val="892435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92456128"/>
        <c:crosses val="autoZero"/>
        <c:crossBetween val="midCat"/>
      </c:valAx>
      <c:valAx>
        <c:axId val="89245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92435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173935</xdr:colOff>
      <xdr:row>0</xdr:row>
      <xdr:rowOff>99391</xdr:rowOff>
    </xdr:from>
    <xdr:to>
      <xdr:col>23</xdr:col>
      <xdr:colOff>339587</xdr:colOff>
      <xdr:row>19</xdr:row>
      <xdr:rowOff>24848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5E84B822-A792-41C1-AF71-06D079A35C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140802</xdr:colOff>
      <xdr:row>1</xdr:row>
      <xdr:rowOff>28160</xdr:rowOff>
    </xdr:from>
    <xdr:to>
      <xdr:col>24</xdr:col>
      <xdr:colOff>223629</xdr:colOff>
      <xdr:row>26</xdr:row>
      <xdr:rowOff>41413</xdr:rowOff>
    </xdr:to>
    <xdr:graphicFrame macro="">
      <xdr:nvGraphicFramePr>
        <xdr:cNvPr id="13" name="Grafik 12">
          <a:extLst>
            <a:ext uri="{FF2B5EF4-FFF2-40B4-BE49-F238E27FC236}">
              <a16:creationId xmlns:a16="http://schemas.microsoft.com/office/drawing/2014/main" id="{C6F326A7-B973-E6F7-2539-B7E3F11921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47625</xdr:colOff>
      <xdr:row>1</xdr:row>
      <xdr:rowOff>66674</xdr:rowOff>
    </xdr:from>
    <xdr:to>
      <xdr:col>24</xdr:col>
      <xdr:colOff>579783</xdr:colOff>
      <xdr:row>28</xdr:row>
      <xdr:rowOff>165651</xdr:rowOff>
    </xdr:to>
    <xdr:graphicFrame macro="">
      <xdr:nvGraphicFramePr>
        <xdr:cNvPr id="7" name="Grafik 6">
          <a:extLst>
            <a:ext uri="{FF2B5EF4-FFF2-40B4-BE49-F238E27FC236}">
              <a16:creationId xmlns:a16="http://schemas.microsoft.com/office/drawing/2014/main" id="{C8909ED9-E6B7-4F1D-AE29-845251A9B1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432F0-E990-4083-9430-D3D84286DDA1}">
  <dimension ref="A1:K23"/>
  <sheetViews>
    <sheetView tabSelected="1" zoomScale="115" zoomScaleNormal="115" workbookViewId="0">
      <selection activeCell="E25" sqref="E25"/>
    </sheetView>
  </sheetViews>
  <sheetFormatPr defaultRowHeight="15" x14ac:dyDescent="0.25"/>
  <cols>
    <col min="2" max="2" width="14.28515625" customWidth="1"/>
    <col min="3" max="3" width="14.7109375" bestFit="1" customWidth="1"/>
    <col min="6" max="6" width="18" bestFit="1" customWidth="1"/>
    <col min="8" max="8" width="14.85546875" customWidth="1"/>
    <col min="9" max="9" width="18.5703125" bestFit="1" customWidth="1"/>
  </cols>
  <sheetData>
    <row r="1" spans="1:11" x14ac:dyDescent="0.25">
      <c r="A1" s="22" t="s">
        <v>5</v>
      </c>
      <c r="B1" s="23"/>
      <c r="C1" s="23"/>
      <c r="D1" s="23"/>
      <c r="E1" s="23"/>
      <c r="F1" s="23"/>
      <c r="G1" s="23"/>
      <c r="H1" s="23"/>
      <c r="I1" s="23"/>
      <c r="J1" s="23"/>
      <c r="K1" s="24"/>
    </row>
    <row r="2" spans="1:11" ht="45" x14ac:dyDescent="0.25">
      <c r="A2" s="18" t="s">
        <v>1</v>
      </c>
      <c r="B2" s="26" t="s">
        <v>12</v>
      </c>
      <c r="C2" s="19" t="s">
        <v>13</v>
      </c>
      <c r="D2" s="34"/>
      <c r="E2" s="34"/>
      <c r="F2" s="34"/>
      <c r="G2" s="34"/>
      <c r="H2" s="28"/>
      <c r="I2" s="28"/>
      <c r="J2" s="28"/>
      <c r="K2" s="12"/>
    </row>
    <row r="3" spans="1:11" hidden="1" x14ac:dyDescent="0.25">
      <c r="A3" s="18"/>
      <c r="B3" s="26">
        <v>0</v>
      </c>
      <c r="C3" s="19">
        <v>0</v>
      </c>
      <c r="D3" s="34"/>
      <c r="E3" s="34"/>
      <c r="F3" s="34"/>
      <c r="G3" s="34"/>
      <c r="H3" s="28"/>
      <c r="I3" s="28"/>
      <c r="J3" s="28"/>
      <c r="K3" s="12"/>
    </row>
    <row r="4" spans="1:11" x14ac:dyDescent="0.25">
      <c r="A4" s="7">
        <v>1.7000000000000001E-2</v>
      </c>
      <c r="B4" s="27">
        <f>A4+(A4*$G$10)</f>
        <v>1.648930753564155E-2</v>
      </c>
      <c r="C4" s="7">
        <v>13.86513021511</v>
      </c>
      <c r="D4" s="28"/>
      <c r="E4" s="28"/>
      <c r="F4" s="28"/>
      <c r="G4" s="28"/>
      <c r="H4" s="28"/>
      <c r="I4" s="28"/>
      <c r="J4" s="28"/>
      <c r="K4" s="12"/>
    </row>
    <row r="5" spans="1:11" x14ac:dyDescent="0.25">
      <c r="A5" s="7">
        <v>4.4999999999999998E-2</v>
      </c>
      <c r="B5" s="27">
        <f>A5+(A5*$G$10)</f>
        <v>4.3648167006109975E-2</v>
      </c>
      <c r="C5" s="7">
        <v>1220.00352065126</v>
      </c>
      <c r="D5" s="28"/>
      <c r="E5" s="28"/>
      <c r="F5" s="21" t="s">
        <v>9</v>
      </c>
      <c r="G5" s="21"/>
      <c r="H5" s="28"/>
      <c r="I5" s="21" t="s">
        <v>10</v>
      </c>
      <c r="J5" s="21"/>
      <c r="K5" s="12"/>
    </row>
    <row r="6" spans="1:11" x14ac:dyDescent="0.25">
      <c r="A6" s="7">
        <v>0.19</v>
      </c>
      <c r="B6" s="27">
        <f>A6+(A6*$G$10)</f>
        <v>0.18429226069246435</v>
      </c>
      <c r="C6" s="7">
        <v>1400.2397527122801</v>
      </c>
      <c r="D6" s="28"/>
      <c r="E6" s="28"/>
      <c r="F6" s="4" t="s">
        <v>8</v>
      </c>
      <c r="G6" s="5">
        <v>1964</v>
      </c>
      <c r="H6" s="28"/>
      <c r="I6" s="4" t="s">
        <v>8</v>
      </c>
      <c r="J6" s="5">
        <v>3756</v>
      </c>
      <c r="K6" s="12"/>
    </row>
    <row r="7" spans="1:11" x14ac:dyDescent="0.25">
      <c r="A7" s="7">
        <v>0.46500000000000002</v>
      </c>
      <c r="B7" s="27">
        <f>A7+(A7*$G$10)</f>
        <v>0.45103105906313645</v>
      </c>
      <c r="C7" s="7">
        <v>1439.0788989734599</v>
      </c>
      <c r="D7" s="28"/>
      <c r="E7" s="28"/>
      <c r="F7" s="4" t="s">
        <v>4</v>
      </c>
      <c r="G7" s="5">
        <v>1905</v>
      </c>
      <c r="H7" s="28"/>
      <c r="I7" s="4" t="s">
        <v>4</v>
      </c>
      <c r="J7" s="5">
        <v>3905</v>
      </c>
      <c r="K7" s="12"/>
    </row>
    <row r="8" spans="1:11" x14ac:dyDescent="0.25">
      <c r="A8" s="7">
        <v>0.77</v>
      </c>
      <c r="B8" s="27">
        <f>A8+(A8*$G$10)</f>
        <v>0.74686863543788184</v>
      </c>
      <c r="C8" s="7">
        <v>1469.66069211678</v>
      </c>
      <c r="D8" s="28"/>
      <c r="E8" s="28"/>
      <c r="F8" s="35"/>
      <c r="G8" s="36"/>
      <c r="H8" s="28"/>
      <c r="I8" s="35"/>
      <c r="J8" s="15"/>
      <c r="K8" s="12"/>
    </row>
    <row r="9" spans="1:11" x14ac:dyDescent="0.25">
      <c r="A9" s="7">
        <v>1.0760000000000001</v>
      </c>
      <c r="B9" s="27">
        <f>A9+(A9*$G$10)</f>
        <v>1.0436761710794298</v>
      </c>
      <c r="C9" s="7">
        <v>1466.0834023295599</v>
      </c>
      <c r="D9" s="28"/>
      <c r="E9" s="28"/>
      <c r="F9" s="4" t="s">
        <v>2</v>
      </c>
      <c r="G9" s="5">
        <f>G7-G6</f>
        <v>-59</v>
      </c>
      <c r="H9" s="28"/>
      <c r="I9" s="4" t="s">
        <v>2</v>
      </c>
      <c r="J9" s="5">
        <f>J7-J6</f>
        <v>149</v>
      </c>
      <c r="K9" s="12"/>
    </row>
    <row r="10" spans="1:11" x14ac:dyDescent="0.25">
      <c r="A10" s="7">
        <v>1.381</v>
      </c>
      <c r="B10" s="27">
        <f>A10+(A10*$G$10)</f>
        <v>1.3395137474541752</v>
      </c>
      <c r="C10" s="7">
        <v>1445.3996741613901</v>
      </c>
      <c r="D10" s="28"/>
      <c r="E10" s="28"/>
      <c r="F10" s="4" t="s">
        <v>3</v>
      </c>
      <c r="G10" s="6">
        <f>(G7-G6)/G6</f>
        <v>-3.004073319755601E-2</v>
      </c>
      <c r="H10" s="28"/>
      <c r="I10" s="4" t="s">
        <v>3</v>
      </c>
      <c r="J10" s="6">
        <f>(J7-J6)/J6</f>
        <v>3.966986155484558E-2</v>
      </c>
      <c r="K10" s="12"/>
    </row>
    <row r="11" spans="1:11" x14ac:dyDescent="0.25">
      <c r="A11" s="7">
        <v>1.7230000000000001</v>
      </c>
      <c r="B11" s="27">
        <f>A11+(A11*$G$10)</f>
        <v>1.6712398167006111</v>
      </c>
      <c r="C11" s="7">
        <v>1340.95895052418</v>
      </c>
      <c r="D11" s="28"/>
      <c r="E11" s="28"/>
      <c r="F11" s="28"/>
      <c r="G11" s="28"/>
      <c r="H11" s="28"/>
      <c r="I11" s="28"/>
      <c r="J11" s="28"/>
      <c r="K11" s="12"/>
    </row>
    <row r="12" spans="1:11" x14ac:dyDescent="0.25">
      <c r="A12" s="7">
        <v>2.0289999999999999</v>
      </c>
      <c r="B12" s="27">
        <f>A12+(A12*$G$10)</f>
        <v>1.9680473523421589</v>
      </c>
      <c r="C12" s="7">
        <v>1231.0850499169101</v>
      </c>
      <c r="D12" s="28"/>
      <c r="E12" s="28"/>
      <c r="F12" s="28"/>
      <c r="G12" s="28"/>
      <c r="H12" s="28"/>
      <c r="I12" s="28"/>
      <c r="J12" s="28"/>
      <c r="K12" s="12"/>
    </row>
    <row r="13" spans="1:11" x14ac:dyDescent="0.25">
      <c r="A13" s="7">
        <v>2.4849999999999999</v>
      </c>
      <c r="B13" s="27">
        <f>A13+(A13*$G$10)</f>
        <v>2.4103487780040731</v>
      </c>
      <c r="C13" s="7">
        <v>1098.4563586330801</v>
      </c>
      <c r="D13" s="28"/>
      <c r="E13" s="28"/>
      <c r="F13" s="37" t="s">
        <v>7</v>
      </c>
      <c r="G13" s="37"/>
      <c r="H13" s="28"/>
      <c r="I13" s="28"/>
      <c r="J13" s="28"/>
      <c r="K13" s="12"/>
    </row>
    <row r="14" spans="1:11" x14ac:dyDescent="0.25">
      <c r="A14" s="7">
        <v>2.71</v>
      </c>
      <c r="B14" s="27">
        <f>A14+(A14*$G$10)</f>
        <v>2.6285896130346234</v>
      </c>
      <c r="C14" s="7">
        <v>1064.0999999999999</v>
      </c>
      <c r="D14" s="28"/>
      <c r="E14" s="28"/>
      <c r="F14" s="37"/>
      <c r="G14" s="37"/>
      <c r="H14" s="28"/>
      <c r="I14" s="28"/>
      <c r="J14" s="28"/>
      <c r="K14" s="12"/>
    </row>
    <row r="15" spans="1:11" x14ac:dyDescent="0.25">
      <c r="A15" s="7">
        <v>2.7879999999999998</v>
      </c>
      <c r="B15" s="27">
        <f>A15+(A15*$G$10)</f>
        <v>2.7042464358452136</v>
      </c>
      <c r="C15" s="7">
        <v>829.72927394098997</v>
      </c>
      <c r="D15" s="28"/>
      <c r="E15" s="28"/>
      <c r="F15" s="37"/>
      <c r="G15" s="37"/>
      <c r="H15" s="28"/>
      <c r="I15" s="28"/>
      <c r="J15" s="28"/>
      <c r="K15" s="12"/>
    </row>
    <row r="16" spans="1:11" x14ac:dyDescent="0.25">
      <c r="A16" s="7">
        <v>2.9390000000000001</v>
      </c>
      <c r="B16" s="27">
        <f>A16+(A16*$G$10)</f>
        <v>2.8507102851323829</v>
      </c>
      <c r="C16" s="7">
        <v>376.03210002584302</v>
      </c>
      <c r="D16" s="28"/>
      <c r="E16" s="28"/>
      <c r="F16" s="28"/>
      <c r="G16" s="28"/>
      <c r="H16" s="28"/>
      <c r="I16" s="28"/>
      <c r="J16" s="28"/>
      <c r="K16" s="12"/>
    </row>
    <row r="17" spans="1:11" x14ac:dyDescent="0.25">
      <c r="A17" s="7">
        <v>3.0230000000000001</v>
      </c>
      <c r="B17" s="27">
        <f>A17+(A17*$G$10)</f>
        <v>2.9321868635437882</v>
      </c>
      <c r="C17" s="7">
        <v>55.770524865323402</v>
      </c>
      <c r="D17" s="28"/>
      <c r="E17" s="28"/>
      <c r="F17" s="28"/>
      <c r="G17" s="31" t="s">
        <v>14</v>
      </c>
      <c r="H17" s="31"/>
      <c r="I17" s="32" cm="1">
        <f t="array" ref="I17">SUMPRODUCT(($A$4:$A$26-$A$3:$A$25),($C$4:$C$26+$C$3:$C$25)/2)</f>
        <v>3762.9690293033964</v>
      </c>
      <c r="J17" s="28"/>
      <c r="K17" s="12"/>
    </row>
    <row r="18" spans="1:11" x14ac:dyDescent="0.25">
      <c r="A18" s="7">
        <v>3.0409999999999999</v>
      </c>
      <c r="B18" s="27">
        <f>A18+(A18*$G$10)</f>
        <v>2.949646130346232</v>
      </c>
      <c r="C18" s="7">
        <v>28.066701701189999</v>
      </c>
      <c r="D18" s="28"/>
      <c r="E18" s="28"/>
      <c r="F18" s="28"/>
      <c r="G18" s="31" t="s">
        <v>15</v>
      </c>
      <c r="H18" s="31"/>
      <c r="I18" s="32" cm="1">
        <f t="array" ref="I18">SUMPRODUCT(($B$4:$B$26-$B$3:$B$25),($C$4:$C$26+$C$3:$C$25)/2)</f>
        <v>3649.9266806634259</v>
      </c>
      <c r="J18" s="28"/>
      <c r="K18" s="12"/>
    </row>
    <row r="19" spans="1:11" x14ac:dyDescent="0.25">
      <c r="A19" s="7">
        <v>3.0590000000000002</v>
      </c>
      <c r="B19" s="27">
        <f>A19+(A19*$G$10)</f>
        <v>2.9671053971486763</v>
      </c>
      <c r="C19" s="7">
        <v>0</v>
      </c>
      <c r="D19" s="38"/>
      <c r="E19" s="28"/>
      <c r="F19" s="28"/>
      <c r="G19" s="28"/>
      <c r="H19" s="28"/>
      <c r="I19" s="28"/>
      <c r="J19" s="28"/>
      <c r="K19" s="12"/>
    </row>
    <row r="20" spans="1:11" x14ac:dyDescent="0.25">
      <c r="A20" s="38"/>
      <c r="B20" s="28"/>
      <c r="C20" s="28"/>
      <c r="D20" s="28"/>
      <c r="E20" s="28"/>
      <c r="F20" s="28"/>
      <c r="G20" s="28"/>
      <c r="H20" s="33" t="s">
        <v>2</v>
      </c>
      <c r="I20" s="30">
        <f>I18-I17</f>
        <v>-113.04234863997044</v>
      </c>
      <c r="J20" s="28"/>
      <c r="K20" s="12"/>
    </row>
    <row r="21" spans="1:11" x14ac:dyDescent="0.25">
      <c r="A21" s="38"/>
      <c r="B21" s="28"/>
      <c r="C21" s="28"/>
      <c r="D21" s="28"/>
      <c r="E21" s="28"/>
      <c r="F21" s="28"/>
      <c r="G21" s="28"/>
      <c r="H21" s="33" t="s">
        <v>3</v>
      </c>
      <c r="I21" s="6">
        <f>(I18-I17)/I17</f>
        <v>-3.0040733197556218E-2</v>
      </c>
      <c r="J21" s="28"/>
      <c r="K21" s="12"/>
    </row>
    <row r="22" spans="1:11" x14ac:dyDescent="0.25">
      <c r="A22" s="38"/>
      <c r="B22" s="28"/>
      <c r="C22" s="28"/>
      <c r="D22" s="28"/>
      <c r="E22" s="28"/>
      <c r="F22" s="28"/>
      <c r="G22" s="28"/>
      <c r="H22" s="28"/>
      <c r="I22" s="28"/>
      <c r="J22" s="28"/>
      <c r="K22" s="12"/>
    </row>
    <row r="23" spans="1:11" x14ac:dyDescent="0.25">
      <c r="A23" s="39"/>
      <c r="B23" s="16"/>
      <c r="C23" s="16"/>
      <c r="D23" s="16"/>
      <c r="E23" s="16"/>
      <c r="F23" s="16"/>
      <c r="G23" s="16"/>
      <c r="H23" s="16"/>
      <c r="I23" s="16"/>
      <c r="J23" s="16"/>
      <c r="K23" s="17"/>
    </row>
  </sheetData>
  <mergeCells count="6">
    <mergeCell ref="F13:G15"/>
    <mergeCell ref="F5:G5"/>
    <mergeCell ref="I5:J5"/>
    <mergeCell ref="A1:K1"/>
    <mergeCell ref="G18:H18"/>
    <mergeCell ref="G17:H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2B7E9-CCAB-44D4-BCF6-BFECA0369E63}">
  <dimension ref="A1:K50"/>
  <sheetViews>
    <sheetView zoomScaleNormal="100" workbookViewId="0">
      <selection activeCell="F33" sqref="F33"/>
    </sheetView>
  </sheetViews>
  <sheetFormatPr defaultRowHeight="15" x14ac:dyDescent="0.25"/>
  <cols>
    <col min="1" max="1" width="11" style="1" bestFit="1" customWidth="1"/>
    <col min="2" max="2" width="14.5703125" style="1" customWidth="1"/>
    <col min="3" max="3" width="9.140625" style="2"/>
    <col min="6" max="6" width="18" bestFit="1" customWidth="1"/>
    <col min="8" max="8" width="14.28515625" customWidth="1"/>
    <col min="9" max="9" width="18.5703125" bestFit="1" customWidth="1"/>
    <col min="19" max="19" width="12" bestFit="1" customWidth="1"/>
  </cols>
  <sheetData>
    <row r="1" spans="1:11" x14ac:dyDescent="0.2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4"/>
    </row>
    <row r="2" spans="1:11" ht="35.25" customHeight="1" x14ac:dyDescent="0.25">
      <c r="A2" s="18" t="s">
        <v>11</v>
      </c>
      <c r="B2" s="26" t="s">
        <v>12</v>
      </c>
      <c r="C2" s="19" t="s">
        <v>13</v>
      </c>
      <c r="D2" s="11"/>
      <c r="E2" s="11"/>
      <c r="F2" s="11"/>
      <c r="G2" s="11"/>
      <c r="J2" s="9"/>
      <c r="K2" s="10"/>
    </row>
    <row r="3" spans="1:11" ht="35.25" hidden="1" customHeight="1" x14ac:dyDescent="0.25">
      <c r="A3" s="18"/>
      <c r="B3" s="26">
        <v>0</v>
      </c>
      <c r="C3" s="19">
        <v>0</v>
      </c>
      <c r="D3" s="11"/>
      <c r="E3" s="11"/>
      <c r="F3" s="11"/>
      <c r="G3" s="11"/>
      <c r="J3" s="28"/>
      <c r="K3" s="12"/>
    </row>
    <row r="4" spans="1:11" x14ac:dyDescent="0.25">
      <c r="A4" s="8">
        <v>0.1</v>
      </c>
      <c r="B4" s="25">
        <f>A4+(A4*$G$10)</f>
        <v>0.10384712730954189</v>
      </c>
      <c r="C4" s="3">
        <v>2411</v>
      </c>
      <c r="K4" s="12"/>
    </row>
    <row r="5" spans="1:11" x14ac:dyDescent="0.25">
      <c r="A5" s="8">
        <v>0.2</v>
      </c>
      <c r="B5" s="25">
        <f t="shared" ref="B5:B26" si="0">A5+(A5*$G$10)</f>
        <v>0.20769425461908378</v>
      </c>
      <c r="C5" s="3">
        <v>2135</v>
      </c>
      <c r="F5" s="21" t="s">
        <v>9</v>
      </c>
      <c r="G5" s="21"/>
      <c r="I5" s="21" t="s">
        <v>10</v>
      </c>
      <c r="J5" s="21"/>
      <c r="K5" s="12"/>
    </row>
    <row r="6" spans="1:11" x14ac:dyDescent="0.25">
      <c r="A6" s="8">
        <v>0.3</v>
      </c>
      <c r="B6" s="25">
        <f t="shared" si="0"/>
        <v>0.31154138192862563</v>
      </c>
      <c r="C6" s="3">
        <v>2015</v>
      </c>
      <c r="F6" s="4" t="s">
        <v>8</v>
      </c>
      <c r="G6" s="5">
        <v>3951</v>
      </c>
      <c r="I6" s="4" t="s">
        <v>8</v>
      </c>
      <c r="J6" s="5">
        <v>6693</v>
      </c>
      <c r="K6" s="12"/>
    </row>
    <row r="7" spans="1:11" x14ac:dyDescent="0.25">
      <c r="A7" s="8">
        <v>0.4</v>
      </c>
      <c r="B7" s="25">
        <f t="shared" si="0"/>
        <v>0.41538850923816756</v>
      </c>
      <c r="C7" s="3">
        <v>2000</v>
      </c>
      <c r="F7" s="4" t="s">
        <v>4</v>
      </c>
      <c r="G7" s="5">
        <v>4103</v>
      </c>
      <c r="I7" s="4" t="s">
        <v>4</v>
      </c>
      <c r="J7" s="5">
        <v>7010</v>
      </c>
      <c r="K7" s="12"/>
    </row>
    <row r="8" spans="1:11" x14ac:dyDescent="0.25">
      <c r="A8" s="8">
        <v>0.5</v>
      </c>
      <c r="B8" s="25">
        <f t="shared" si="0"/>
        <v>0.51923563654770943</v>
      </c>
      <c r="C8" s="3">
        <v>2055</v>
      </c>
      <c r="F8" s="13"/>
      <c r="G8" s="14"/>
      <c r="I8" s="13"/>
      <c r="J8" s="15"/>
      <c r="K8" s="12"/>
    </row>
    <row r="9" spans="1:11" x14ac:dyDescent="0.25">
      <c r="A9" s="8">
        <v>1</v>
      </c>
      <c r="B9" s="25">
        <f t="shared" si="0"/>
        <v>1.0384712730954189</v>
      </c>
      <c r="C9" s="3">
        <v>2098</v>
      </c>
      <c r="F9" s="4" t="s">
        <v>2</v>
      </c>
      <c r="G9" s="5">
        <f>G7-G6</f>
        <v>152</v>
      </c>
      <c r="I9" s="4" t="s">
        <v>2</v>
      </c>
      <c r="J9" s="5">
        <f>J7-J6</f>
        <v>317</v>
      </c>
      <c r="K9" s="12"/>
    </row>
    <row r="10" spans="1:11" x14ac:dyDescent="0.25">
      <c r="A10" s="8">
        <v>1.5</v>
      </c>
      <c r="B10" s="25">
        <f t="shared" si="0"/>
        <v>1.5577069096431284</v>
      </c>
      <c r="C10" s="3">
        <v>1860</v>
      </c>
      <c r="F10" s="4" t="s">
        <v>3</v>
      </c>
      <c r="G10" s="6">
        <f>(G7-G6)/G6</f>
        <v>3.8471273095418881E-2</v>
      </c>
      <c r="I10" s="4" t="s">
        <v>3</v>
      </c>
      <c r="J10" s="6">
        <f>(J7-J6)/J6</f>
        <v>4.7362916479904378E-2</v>
      </c>
      <c r="K10" s="12"/>
    </row>
    <row r="11" spans="1:11" x14ac:dyDescent="0.25">
      <c r="A11" s="8">
        <v>2</v>
      </c>
      <c r="B11" s="25">
        <f t="shared" si="0"/>
        <v>2.0769425461908377</v>
      </c>
      <c r="C11" s="3">
        <v>1788</v>
      </c>
      <c r="K11" s="12"/>
    </row>
    <row r="12" spans="1:11" x14ac:dyDescent="0.25">
      <c r="A12" s="8">
        <v>2.5</v>
      </c>
      <c r="B12" s="25">
        <f t="shared" si="0"/>
        <v>2.5961781827385471</v>
      </c>
      <c r="C12" s="3">
        <v>1659</v>
      </c>
      <c r="K12" s="12"/>
    </row>
    <row r="13" spans="1:11" x14ac:dyDescent="0.25">
      <c r="A13" s="8">
        <v>3</v>
      </c>
      <c r="B13" s="25">
        <f t="shared" si="0"/>
        <v>3.1154138192862568</v>
      </c>
      <c r="C13" s="3">
        <v>1468</v>
      </c>
      <c r="F13" s="20" t="s">
        <v>7</v>
      </c>
      <c r="G13" s="20"/>
      <c r="K13" s="12"/>
    </row>
    <row r="14" spans="1:11" x14ac:dyDescent="0.25">
      <c r="A14" s="8">
        <v>3.25</v>
      </c>
      <c r="B14" s="25">
        <f t="shared" si="0"/>
        <v>3.3750316375601113</v>
      </c>
      <c r="C14" s="3">
        <v>1423</v>
      </c>
      <c r="F14" s="20"/>
      <c r="G14" s="20"/>
      <c r="K14" s="12"/>
    </row>
    <row r="15" spans="1:11" x14ac:dyDescent="0.25">
      <c r="A15" s="8">
        <v>3.35</v>
      </c>
      <c r="B15" s="25">
        <f t="shared" si="0"/>
        <v>3.4788787648696533</v>
      </c>
      <c r="C15" s="3">
        <v>1334</v>
      </c>
      <c r="F15" s="20"/>
      <c r="G15" s="20"/>
      <c r="K15" s="12"/>
    </row>
    <row r="16" spans="1:11" x14ac:dyDescent="0.25">
      <c r="A16" s="8">
        <v>3.5</v>
      </c>
      <c r="B16" s="25">
        <f t="shared" si="0"/>
        <v>3.6346494558339661</v>
      </c>
      <c r="C16" s="3">
        <v>1201</v>
      </c>
      <c r="K16" s="12"/>
    </row>
    <row r="17" spans="1:11" x14ac:dyDescent="0.25">
      <c r="A17" s="8">
        <v>3.75</v>
      </c>
      <c r="B17" s="25">
        <f t="shared" si="0"/>
        <v>3.894267274107821</v>
      </c>
      <c r="C17" s="3">
        <v>934</v>
      </c>
      <c r="K17" s="12"/>
    </row>
    <row r="18" spans="1:11" x14ac:dyDescent="0.25">
      <c r="A18" s="8">
        <v>3.8</v>
      </c>
      <c r="B18" s="25">
        <f t="shared" si="0"/>
        <v>3.9461908377625914</v>
      </c>
      <c r="C18" s="3">
        <v>930</v>
      </c>
      <c r="G18" s="31" t="s">
        <v>14</v>
      </c>
      <c r="H18" s="31"/>
      <c r="I18" s="32" cm="1">
        <f t="array" ref="I18">SUMPRODUCT(($A$4:$A$26-$A$3:$A$25),($C$4:$C$26+$C$3:$C$25)/2)</f>
        <v>7365.9000000000005</v>
      </c>
      <c r="K18" s="12"/>
    </row>
    <row r="19" spans="1:11" x14ac:dyDescent="0.25">
      <c r="A19" s="8">
        <v>4</v>
      </c>
      <c r="B19" s="25">
        <f t="shared" si="0"/>
        <v>4.1538850923816755</v>
      </c>
      <c r="C19" s="3">
        <v>881</v>
      </c>
      <c r="G19" s="31" t="s">
        <v>15</v>
      </c>
      <c r="H19" s="31"/>
      <c r="I19" s="32" cm="1">
        <f t="array" ref="I19">SUMPRODUCT(($B$4:$B$26-$B$3:$B$25),($C$4:$C$26+$C$3:$C$25)/2)</f>
        <v>7649.2755504935458</v>
      </c>
      <c r="J19" s="29"/>
      <c r="K19" s="12"/>
    </row>
    <row r="20" spans="1:11" x14ac:dyDescent="0.25">
      <c r="A20" s="8">
        <v>4.25</v>
      </c>
      <c r="B20" s="25">
        <f t="shared" si="0"/>
        <v>4.4135029106555299</v>
      </c>
      <c r="C20" s="3">
        <v>600</v>
      </c>
      <c r="K20" s="12"/>
    </row>
    <row r="21" spans="1:11" x14ac:dyDescent="0.25">
      <c r="A21" s="8">
        <v>4.5</v>
      </c>
      <c r="B21" s="25">
        <f t="shared" si="0"/>
        <v>4.6731207289293852</v>
      </c>
      <c r="C21" s="3">
        <v>468</v>
      </c>
      <c r="H21" s="33" t="s">
        <v>2</v>
      </c>
      <c r="I21" s="30">
        <f>I19-I18</f>
        <v>283.37555049354523</v>
      </c>
      <c r="K21" s="12"/>
    </row>
    <row r="22" spans="1:11" x14ac:dyDescent="0.25">
      <c r="A22" s="8">
        <v>4.75</v>
      </c>
      <c r="B22" s="25">
        <f t="shared" si="0"/>
        <v>4.9327385472032397</v>
      </c>
      <c r="C22" s="3">
        <v>400</v>
      </c>
      <c r="H22" s="33" t="s">
        <v>3</v>
      </c>
      <c r="I22" s="6">
        <f>(I19-I18)/I18</f>
        <v>3.8471273095418784E-2</v>
      </c>
      <c r="K22" s="12"/>
    </row>
    <row r="23" spans="1:11" x14ac:dyDescent="0.25">
      <c r="A23" s="8">
        <v>5</v>
      </c>
      <c r="B23" s="25">
        <f t="shared" si="0"/>
        <v>5.1923563654770941</v>
      </c>
      <c r="C23" s="3">
        <v>290</v>
      </c>
      <c r="K23" s="12"/>
    </row>
    <row r="24" spans="1:11" x14ac:dyDescent="0.25">
      <c r="A24" s="8">
        <v>5.5</v>
      </c>
      <c r="B24" s="25">
        <f t="shared" si="0"/>
        <v>5.7115920020248039</v>
      </c>
      <c r="C24" s="3">
        <v>85</v>
      </c>
      <c r="K24" s="12"/>
    </row>
    <row r="25" spans="1:11" x14ac:dyDescent="0.25">
      <c r="A25" s="8">
        <v>6</v>
      </c>
      <c r="B25" s="25">
        <f t="shared" si="0"/>
        <v>6.2308276385725136</v>
      </c>
      <c r="C25" s="3">
        <v>23</v>
      </c>
      <c r="K25" s="12"/>
    </row>
    <row r="26" spans="1:11" x14ac:dyDescent="0.25">
      <c r="A26" s="8">
        <v>6.5</v>
      </c>
      <c r="B26" s="25">
        <f t="shared" si="0"/>
        <v>6.7500632751202225</v>
      </c>
      <c r="C26" s="3">
        <v>0</v>
      </c>
      <c r="D26" s="16"/>
      <c r="E26" s="16"/>
      <c r="F26" s="16"/>
      <c r="G26" s="16"/>
      <c r="H26" s="16"/>
      <c r="I26" s="16"/>
      <c r="J26" s="16"/>
      <c r="K26" s="17"/>
    </row>
    <row r="28" spans="1:11" x14ac:dyDescent="0.25">
      <c r="A28"/>
      <c r="B28"/>
      <c r="C28"/>
    </row>
    <row r="29" spans="1:11" x14ac:dyDescent="0.25">
      <c r="A29"/>
      <c r="B29"/>
      <c r="C29"/>
    </row>
    <row r="30" spans="1:11" x14ac:dyDescent="0.25">
      <c r="A30"/>
      <c r="B30"/>
      <c r="C30"/>
    </row>
    <row r="31" spans="1:11" x14ac:dyDescent="0.25">
      <c r="A31"/>
      <c r="B31"/>
      <c r="C31"/>
    </row>
    <row r="32" spans="1:11" x14ac:dyDescent="0.25">
      <c r="A32"/>
      <c r="B32"/>
      <c r="C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</sheetData>
  <mergeCells count="6">
    <mergeCell ref="F13:G15"/>
    <mergeCell ref="F5:G5"/>
    <mergeCell ref="I5:J5"/>
    <mergeCell ref="A1:K1"/>
    <mergeCell ref="G19:H19"/>
    <mergeCell ref="G18:H1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03120-00BA-4DBE-A0E7-3C8113146921}">
  <dimension ref="A1:K29"/>
  <sheetViews>
    <sheetView zoomScaleNormal="100" workbookViewId="0">
      <selection activeCell="K30" sqref="K30"/>
    </sheetView>
  </sheetViews>
  <sheetFormatPr defaultRowHeight="15" x14ac:dyDescent="0.25"/>
  <cols>
    <col min="2" max="2" width="14.7109375" customWidth="1"/>
    <col min="3" max="3" width="13.7109375" customWidth="1"/>
    <col min="6" max="6" width="18" bestFit="1" customWidth="1"/>
    <col min="7" max="7" width="12.42578125" customWidth="1"/>
    <col min="8" max="8" width="14.140625" customWidth="1"/>
    <col min="9" max="9" width="18.5703125" bestFit="1" customWidth="1"/>
    <col min="18" max="18" width="6" bestFit="1" customWidth="1"/>
    <col min="19" max="19" width="12" bestFit="1" customWidth="1"/>
  </cols>
  <sheetData>
    <row r="1" spans="1:11" x14ac:dyDescent="0.25">
      <c r="A1" s="22" t="s">
        <v>6</v>
      </c>
      <c r="B1" s="23"/>
      <c r="C1" s="23"/>
      <c r="D1" s="23"/>
      <c r="E1" s="23"/>
      <c r="F1" s="23"/>
      <c r="G1" s="23"/>
      <c r="H1" s="23"/>
      <c r="I1" s="23"/>
      <c r="J1" s="23"/>
      <c r="K1" s="24"/>
    </row>
    <row r="2" spans="1:11" ht="45" x14ac:dyDescent="0.25">
      <c r="A2" s="18" t="s">
        <v>1</v>
      </c>
      <c r="B2" s="26" t="s">
        <v>12</v>
      </c>
      <c r="C2" s="19" t="s">
        <v>13</v>
      </c>
      <c r="D2" s="11"/>
      <c r="E2" s="11"/>
      <c r="F2" s="11"/>
      <c r="G2" s="11"/>
      <c r="J2" s="9"/>
      <c r="K2" s="12"/>
    </row>
    <row r="3" spans="1:11" hidden="1" x14ac:dyDescent="0.25">
      <c r="A3" s="18"/>
      <c r="B3" s="26">
        <v>0</v>
      </c>
      <c r="C3" s="19">
        <v>0</v>
      </c>
      <c r="D3" s="11"/>
      <c r="E3" s="11"/>
      <c r="F3" s="11"/>
      <c r="G3" s="11"/>
      <c r="J3" s="28"/>
      <c r="K3" s="12"/>
    </row>
    <row r="4" spans="1:11" x14ac:dyDescent="0.25">
      <c r="A4" s="8">
        <v>3.5999999999999997E-2</v>
      </c>
      <c r="B4" s="27">
        <f>A4+(A4*$G$10)</f>
        <v>3.6747603833865813E-2</v>
      </c>
      <c r="C4" s="8">
        <v>40.167999999999999</v>
      </c>
      <c r="J4" s="16"/>
      <c r="K4" s="12"/>
    </row>
    <row r="5" spans="1:11" x14ac:dyDescent="0.25">
      <c r="A5" s="8">
        <v>7.8E-2</v>
      </c>
      <c r="B5" s="27">
        <f>A5+(A5*$G$10)</f>
        <v>7.9619808306709269E-2</v>
      </c>
      <c r="C5" s="8">
        <v>2887.6239999999998</v>
      </c>
      <c r="F5" s="21" t="s">
        <v>9</v>
      </c>
      <c r="G5" s="21"/>
      <c r="I5" s="21" t="s">
        <v>10</v>
      </c>
      <c r="J5" s="21"/>
      <c r="K5" s="12"/>
    </row>
    <row r="6" spans="1:11" x14ac:dyDescent="0.25">
      <c r="A6" s="8">
        <v>0.125</v>
      </c>
      <c r="B6" s="27">
        <f>A6+(A6*$G$10)</f>
        <v>0.12759584664536741</v>
      </c>
      <c r="C6" s="8">
        <v>3775.78</v>
      </c>
      <c r="F6" s="4" t="s">
        <v>8</v>
      </c>
      <c r="G6" s="5">
        <v>7512</v>
      </c>
      <c r="I6" s="4" t="s">
        <v>8</v>
      </c>
      <c r="J6" s="5">
        <v>12259</v>
      </c>
      <c r="K6" s="12"/>
    </row>
    <row r="7" spans="1:11" x14ac:dyDescent="0.25">
      <c r="A7" s="8">
        <v>0.157</v>
      </c>
      <c r="B7" s="27">
        <f>A7+(A7*$G$10)</f>
        <v>0.16026038338658147</v>
      </c>
      <c r="C7" s="8">
        <v>3628.498</v>
      </c>
      <c r="F7" s="4" t="s">
        <v>4</v>
      </c>
      <c r="G7" s="5">
        <v>7668</v>
      </c>
      <c r="I7" s="4" t="s">
        <v>4</v>
      </c>
      <c r="J7" s="5">
        <v>12645</v>
      </c>
      <c r="K7" s="12"/>
    </row>
    <row r="8" spans="1:11" x14ac:dyDescent="0.25">
      <c r="A8" s="8">
        <v>0.2</v>
      </c>
      <c r="B8" s="27">
        <f>A8+(A8*$G$10)</f>
        <v>0.20415335463258788</v>
      </c>
      <c r="C8" s="8">
        <v>3534.7730000000001</v>
      </c>
      <c r="F8" s="13"/>
      <c r="G8" s="14"/>
      <c r="I8" s="13"/>
      <c r="J8" s="15"/>
      <c r="K8" s="12"/>
    </row>
    <row r="9" spans="1:11" x14ac:dyDescent="0.25">
      <c r="A9" s="8">
        <v>0.41699999999999998</v>
      </c>
      <c r="B9" s="27">
        <f>A9+(A9*$G$10)</f>
        <v>0.42565974440894566</v>
      </c>
      <c r="C9" s="8">
        <v>3597.2559999999999</v>
      </c>
      <c r="F9" s="4" t="s">
        <v>2</v>
      </c>
      <c r="G9" s="5">
        <f>G7-G6</f>
        <v>156</v>
      </c>
      <c r="I9" s="4" t="s">
        <v>2</v>
      </c>
      <c r="J9" s="5">
        <f>J7-J6</f>
        <v>386</v>
      </c>
      <c r="K9" s="12"/>
    </row>
    <row r="10" spans="1:11" x14ac:dyDescent="0.25">
      <c r="A10" s="8">
        <v>0.66600000000000004</v>
      </c>
      <c r="B10" s="27">
        <f>A10+(A10*$G$10)</f>
        <v>0.67983067092651761</v>
      </c>
      <c r="C10" s="8">
        <v>3628.498</v>
      </c>
      <c r="F10" s="4" t="s">
        <v>3</v>
      </c>
      <c r="G10" s="6">
        <f>(G7-G6)/G6</f>
        <v>2.0766773162939296E-2</v>
      </c>
      <c r="I10" s="4" t="s">
        <v>3</v>
      </c>
      <c r="J10" s="6">
        <f>(J7-J6)/J6</f>
        <v>3.1487070723550045E-2</v>
      </c>
      <c r="K10" s="12"/>
    </row>
    <row r="11" spans="1:11" x14ac:dyDescent="0.25">
      <c r="A11" s="8">
        <v>0.96199999999999997</v>
      </c>
      <c r="B11" s="27">
        <f>A11+(A11*$G$10)</f>
        <v>0.98197763578274755</v>
      </c>
      <c r="C11" s="8">
        <v>3668.6660000000002</v>
      </c>
      <c r="J11" s="9"/>
      <c r="K11" s="12"/>
    </row>
    <row r="12" spans="1:11" x14ac:dyDescent="0.25">
      <c r="A12" s="8">
        <v>1.1970000000000001</v>
      </c>
      <c r="B12" s="27">
        <f>A12+(A12*$G$10)</f>
        <v>1.2218578274760383</v>
      </c>
      <c r="C12" s="8">
        <v>3664.203</v>
      </c>
      <c r="K12" s="12"/>
    </row>
    <row r="13" spans="1:11" x14ac:dyDescent="0.25">
      <c r="A13" s="8">
        <v>1.5069999999999999</v>
      </c>
      <c r="B13" s="27">
        <f>A13+(A13*$G$10)</f>
        <v>1.5382955271565495</v>
      </c>
      <c r="C13" s="8">
        <v>3655.2759999999998</v>
      </c>
      <c r="F13" s="20" t="s">
        <v>7</v>
      </c>
      <c r="G13" s="20"/>
      <c r="K13" s="12"/>
    </row>
    <row r="14" spans="1:11" x14ac:dyDescent="0.25">
      <c r="A14" s="8">
        <v>1.9</v>
      </c>
      <c r="B14" s="27">
        <f>A14+(A14*$G$10)</f>
        <v>1.9394568690095846</v>
      </c>
      <c r="C14" s="8">
        <v>3619.5720000000001</v>
      </c>
      <c r="F14" s="20"/>
      <c r="G14" s="20"/>
      <c r="K14" s="12"/>
    </row>
    <row r="15" spans="1:11" x14ac:dyDescent="0.25">
      <c r="A15" s="8">
        <v>2.206</v>
      </c>
      <c r="B15" s="27">
        <f>A15+(A15*$G$10)</f>
        <v>2.251811501597444</v>
      </c>
      <c r="C15" s="8">
        <v>3570.4780000000001</v>
      </c>
      <c r="F15" s="20"/>
      <c r="G15" s="20"/>
      <c r="K15" s="12"/>
    </row>
    <row r="16" spans="1:11" x14ac:dyDescent="0.25">
      <c r="A16" s="8">
        <v>2.423</v>
      </c>
      <c r="B16" s="27">
        <f>A16+(A16*$G$10)</f>
        <v>2.4733178913738021</v>
      </c>
      <c r="C16" s="8">
        <v>3530.31</v>
      </c>
      <c r="K16" s="12"/>
    </row>
    <row r="17" spans="1:11" x14ac:dyDescent="0.25">
      <c r="A17" s="8">
        <v>2.637</v>
      </c>
      <c r="B17" s="27">
        <f>A17+(A17*$G$10)</f>
        <v>2.691761980830671</v>
      </c>
      <c r="C17" s="8">
        <v>3423.1950000000002</v>
      </c>
      <c r="K17" s="12"/>
    </row>
    <row r="18" spans="1:11" x14ac:dyDescent="0.25">
      <c r="A18" s="8">
        <v>3.008</v>
      </c>
      <c r="B18" s="27">
        <f>A18+(A18*$G$10)</f>
        <v>3.0704664536741215</v>
      </c>
      <c r="C18" s="8">
        <v>3208.9670000000001</v>
      </c>
      <c r="K18" s="12"/>
    </row>
    <row r="19" spans="1:11" x14ac:dyDescent="0.25">
      <c r="A19" s="8">
        <v>3.3180000000000001</v>
      </c>
      <c r="B19" s="27">
        <f>A19+(A19*$G$10)</f>
        <v>3.3869041533546325</v>
      </c>
      <c r="C19" s="8">
        <v>3025.98</v>
      </c>
      <c r="G19" s="31" t="s">
        <v>14</v>
      </c>
      <c r="H19" s="31"/>
      <c r="I19" s="32" cm="1">
        <f t="array" ref="I19">SUMPRODUCT(($A$4:$A$26-$A$3:$A$25),($C$4:$C$26+$C$3:$C$25)/2)</f>
        <v>13935.815371000001</v>
      </c>
      <c r="K19" s="12"/>
    </row>
    <row r="20" spans="1:11" x14ac:dyDescent="0.25">
      <c r="A20" s="8">
        <v>3.617</v>
      </c>
      <c r="B20" s="27">
        <f>A20+(A20*$G$10)</f>
        <v>3.6921134185303512</v>
      </c>
      <c r="C20" s="8">
        <v>2820.6770000000001</v>
      </c>
      <c r="G20" s="31" t="s">
        <v>15</v>
      </c>
      <c r="H20" s="31"/>
      <c r="I20" s="32" cm="1">
        <f t="array" ref="I20">SUMPRODUCT(($B$4:$B$26-$B$3:$B$25),($C$4:$C$26+$C$3:$C$25)/2)</f>
        <v>14225.217287650157</v>
      </c>
      <c r="K20" s="12"/>
    </row>
    <row r="21" spans="1:11" x14ac:dyDescent="0.25">
      <c r="A21" s="8">
        <v>3.86</v>
      </c>
      <c r="B21" s="27">
        <f>A21+(A21*$G$10)</f>
        <v>3.9401597444089456</v>
      </c>
      <c r="C21" s="8">
        <v>2646.6170000000002</v>
      </c>
      <c r="K21" s="12"/>
    </row>
    <row r="22" spans="1:11" x14ac:dyDescent="0.25">
      <c r="A22" s="8">
        <v>3.9630000000000001</v>
      </c>
      <c r="B22" s="27">
        <f>A22+(A22*$G$10)</f>
        <v>4.0452987220447287</v>
      </c>
      <c r="C22" s="8">
        <v>2597.5219999999999</v>
      </c>
      <c r="H22" s="33" t="s">
        <v>2</v>
      </c>
      <c r="I22" s="30">
        <f>I20-I19</f>
        <v>289.40191665015664</v>
      </c>
      <c r="K22" s="12"/>
    </row>
    <row r="23" spans="1:11" x14ac:dyDescent="0.25">
      <c r="A23" s="8">
        <v>4.024</v>
      </c>
      <c r="B23" s="27">
        <f>A23+(A23*$G$10)</f>
        <v>4.1075654952076679</v>
      </c>
      <c r="C23" s="8">
        <v>2468.0929999999998</v>
      </c>
      <c r="H23" s="33" t="s">
        <v>3</v>
      </c>
      <c r="I23" s="6">
        <f>(I20-I19)/I19</f>
        <v>2.0766773162939074E-2</v>
      </c>
      <c r="K23" s="12"/>
    </row>
    <row r="24" spans="1:11" x14ac:dyDescent="0.25">
      <c r="A24" s="8">
        <v>4.0910000000000002</v>
      </c>
      <c r="B24" s="27">
        <f>A24+(A24*$G$10)</f>
        <v>4.1759568690095845</v>
      </c>
      <c r="C24" s="8">
        <v>2267.2530000000002</v>
      </c>
      <c r="K24" s="12"/>
    </row>
    <row r="25" spans="1:11" x14ac:dyDescent="0.25">
      <c r="A25" s="8">
        <v>4.1630000000000003</v>
      </c>
      <c r="B25" s="27">
        <f>A25+(A25*$G$10)</f>
        <v>4.2494520766773167</v>
      </c>
      <c r="C25" s="8">
        <v>1896.816</v>
      </c>
      <c r="K25" s="12"/>
    </row>
    <row r="26" spans="1:11" x14ac:dyDescent="0.25">
      <c r="A26" s="8">
        <v>4.2839999999999998</v>
      </c>
      <c r="B26" s="27">
        <f>A26+(A26*$G$10)</f>
        <v>4.3729648562300314</v>
      </c>
      <c r="C26" s="8">
        <v>1124.7</v>
      </c>
      <c r="K26" s="12"/>
    </row>
    <row r="27" spans="1:11" x14ac:dyDescent="0.25">
      <c r="A27" s="8">
        <v>4.3940000000000001</v>
      </c>
      <c r="B27" s="27">
        <f>A27+(A27*$G$10)</f>
        <v>4.4852492012779557</v>
      </c>
      <c r="C27" s="8">
        <v>343.65800000000002</v>
      </c>
      <c r="K27" s="12"/>
    </row>
    <row r="28" spans="1:11" x14ac:dyDescent="0.25">
      <c r="A28" s="8">
        <v>4.4550000000000001</v>
      </c>
      <c r="B28" s="27">
        <f>A28+(A28*$G$10)</f>
        <v>4.5475159744408948</v>
      </c>
      <c r="C28" s="8">
        <v>129.43</v>
      </c>
      <c r="K28" s="12"/>
    </row>
    <row r="29" spans="1:11" x14ac:dyDescent="0.25">
      <c r="A29" s="8">
        <v>4.5190000000000001</v>
      </c>
      <c r="B29" s="27">
        <f>A29+(A29*$G$10)</f>
        <v>4.6128450479233232</v>
      </c>
      <c r="C29" s="8">
        <v>0</v>
      </c>
      <c r="D29" s="16"/>
      <c r="E29" s="16"/>
      <c r="F29" s="16"/>
      <c r="G29" s="16"/>
      <c r="H29" s="16"/>
      <c r="I29" s="16"/>
      <c r="J29" s="16"/>
      <c r="K29" s="17"/>
    </row>
  </sheetData>
  <mergeCells count="6">
    <mergeCell ref="F13:G15"/>
    <mergeCell ref="F5:G5"/>
    <mergeCell ref="I5:J5"/>
    <mergeCell ref="A1:K1"/>
    <mergeCell ref="G20:H20"/>
    <mergeCell ref="G19:H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L1256</vt:lpstr>
      <vt:lpstr>M1850</vt:lpstr>
      <vt:lpstr>N3300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Serhat Duras</dc:creator>
  <cp:lastModifiedBy>Melissa Kendra</cp:lastModifiedBy>
  <dcterms:created xsi:type="dcterms:W3CDTF">2025-12-30T11:36:48Z</dcterms:created>
  <dcterms:modified xsi:type="dcterms:W3CDTF">2026-01-06T12:02:37Z</dcterms:modified>
</cp:coreProperties>
</file>